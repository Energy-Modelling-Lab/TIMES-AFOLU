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bin" ContentType="application/vnd.openxmlformats-officedocument.spreadsheetml.printerSettings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Git-repositories\TIMES-AFOLU\SuppXLS\"/>
    </mc:Choice>
  </mc:AlternateContent>
  <bookViews>
    <workbookView xWindow="-120" yWindow="-120" windowWidth="29040" windowHeight="15720" activeTab="3"/>
  </bookViews>
  <sheets>
    <sheet name="FillTableArea" sheetId="15" r:id="rId3"/>
    <sheet name="FillTableGrassing" sheetId="17" r:id="rId4"/>
    <sheet name="AreaUse" sheetId="1" r:id="rId5"/>
    <sheet name="GrassingPastures" sheetId="16" r:id="r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<sst xmlns="http://schemas.openxmlformats.org/spreadsheetml/2006/main" count="255" uniqueCount="66">
  <si>
    <t>~UC_Sets: R_E: AllRegions</t>
  </si>
  <si>
    <t>UC_N</t>
  </si>
  <si>
    <t>Year</t>
  </si>
  <si>
    <t>Pset_PN</t>
  </si>
  <si>
    <t>UC_CAP</t>
  </si>
  <si>
    <t>Attribute</t>
  </si>
  <si>
    <t>LimType</t>
  </si>
  <si>
    <t>~UC_Sets: T_E:</t>
  </si>
  <si>
    <t>UC_Desc</t>
  </si>
  <si>
    <t>UC - Each Region/Period</t>
  </si>
  <si>
    <t>~UC_T: UC_RHSRT</t>
  </si>
  <si>
    <t>UC_AreaUse</t>
  </si>
  <si>
    <t>UP</t>
  </si>
  <si>
    <t>AFOCRPOFICERWTRE0</t>
  </si>
  <si>
    <t>AFOCRPOFIRICWTRE0</t>
  </si>
  <si>
    <t>AFOCRPOFILEGWTRE0</t>
  </si>
  <si>
    <t>AFOCRPOFISEEWTRE0</t>
  </si>
  <si>
    <t>AFOCRPOFIFCRWTRE0</t>
  </si>
  <si>
    <t>AFOCRPOFIVEGWTRE0</t>
  </si>
  <si>
    <t>AFOCRPOFIWCRWTRE0</t>
  </si>
  <si>
    <t>AFOCRPOFIROOWTRE0</t>
  </si>
  <si>
    <t>AFOCRPOFIHAGWTRE0</t>
  </si>
  <si>
    <t>AFOCRPGRHLEGWTRE0</t>
  </si>
  <si>
    <t>AFOCRPGRHVEGWTRE0</t>
  </si>
  <si>
    <t>AFOCRPGRHWCRWTRE0</t>
  </si>
  <si>
    <t>AFOCRPGRHHAGWTRE0</t>
  </si>
  <si>
    <t>AFOCRPAQPVEGWTRE0</t>
  </si>
  <si>
    <t>AFOCRPAQPHAGWTRE0</t>
  </si>
  <si>
    <t>AFOCRPOFOCERWTRE0</t>
  </si>
  <si>
    <t>AFOCRPOFORICWTRE0</t>
  </si>
  <si>
    <t>AFOCRPOFOLEGWTRE0</t>
  </si>
  <si>
    <t>AFOCRPOFOSEEWTRE0</t>
  </si>
  <si>
    <t>AFOCRPOFOFCRWTRE0</t>
  </si>
  <si>
    <t>AFOCRPOFOVEGWTRE0</t>
  </si>
  <si>
    <t>AFOCRPOFOWCRWTRE0</t>
  </si>
  <si>
    <t>AFOCRPOFOROOWTRE0</t>
  </si>
  <si>
    <t>AFOCRPOFOHAGWTRE0</t>
  </si>
  <si>
    <t>~TFM_FILL</t>
  </si>
  <si>
    <t>Operation_Sum_Avg_Count</t>
  </si>
  <si>
    <t>Scenario</t>
  </si>
  <si>
    <t>BASE</t>
  </si>
  <si>
    <t>NCAP_PASTI</t>
  </si>
  <si>
    <t>A</t>
  </si>
  <si>
    <t>Allowed increase</t>
  </si>
  <si>
    <t>Restriction on the area use for crop and forest land</t>
  </si>
  <si>
    <t>AFOLIVGRSASSWTRE0</t>
  </si>
  <si>
    <t>AFOLIVGRSBUFWTRE0</t>
  </si>
  <si>
    <t>AFOLIVGRSCAMWTRE0</t>
  </si>
  <si>
    <t>AFOLIVGRSCADWTRE0</t>
  </si>
  <si>
    <t>AFOLIVGRSCANWTRE0</t>
  </si>
  <si>
    <t>AFOLIVGRSGOAWTRE0</t>
  </si>
  <si>
    <t>AFOLIVGRSHORWTRE0</t>
  </si>
  <si>
    <t>AFOLIVGRSLLAWTRE0</t>
  </si>
  <si>
    <t>AFOLIVGRSMULWTRE0</t>
  </si>
  <si>
    <t>AFOLIVGRSSHPWTRE0</t>
  </si>
  <si>
    <t>AFOLIVGRSSWBWTRE0</t>
  </si>
  <si>
    <t>AFOLIVGRSSWMWTRE0</t>
  </si>
  <si>
    <t>AFOLIVGRSPOUWTRE0</t>
  </si>
  <si>
    <t/>
  </si>
  <si>
    <t>UC_RHSRT</t>
  </si>
  <si>
    <t>UC_RHSRT~0</t>
  </si>
  <si>
    <t>AFOCRP*E0,AFOFRSNRGFE0,AFOPASNATGEPWTRE0</t>
  </si>
  <si>
    <t>AFOFRSNRGFE0</t>
  </si>
  <si>
    <t>AFOPASNATGEPWTRE0</t>
  </si>
  <si>
    <t>REG1</t>
  </si>
  <si>
    <t>UC_CAP~REG1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</si>
</sst>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860000610352"/>
        <bgColor indexed="64"/>
      </patternFill>
    </fill>
    <fill>
      <patternFill patternType="solid">
        <fgColor theme="4" tint="0.59978002309799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860000610352"/>
        <bgColor indexed="64"/>
      </patternFill>
    </fill>
    <fill>
      <patternFill patternType="solid">
        <fgColor theme="5" tint="0.59978002309799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60000610352"/>
        <bgColor indexed="64"/>
      </patternFill>
    </fill>
    <fill>
      <patternFill patternType="solid">
        <fgColor theme="6" tint="0.59978002309799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860000610352"/>
        <bgColor indexed="64"/>
      </patternFill>
    </fill>
    <fill>
      <patternFill patternType="solid">
        <fgColor theme="7" tint="0.59978002309799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860000610352"/>
        <bgColor indexed="64"/>
      </patternFill>
    </fill>
    <fill>
      <patternFill patternType="solid">
        <fgColor theme="8" tint="0.59978002309799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860000610352"/>
        <bgColor indexed="64"/>
      </patternFill>
    </fill>
    <fill>
      <patternFill patternType="solid">
        <fgColor theme="9" tint="0.599780023097992"/>
        <bgColor indexed="64"/>
      </patternFill>
    </fill>
    <fill>
      <patternFill patternType="solid">
        <fgColor theme="9" tint="0.3999800086021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76998567581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auto="1"/>
      </left>
      <right/>
      <top/>
      <bottom/>
    </border>
  </borders>
  <cellStyleXfs count="6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2" borderId="1" applyNumberFormat="0" applyAlignment="0" applyProtection="0"/>
    <xf numFmtId="0" fontId="13" fillId="3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0" fillId="0" borderId="2" applyNumberFormat="0" applyFill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  <protection locked="0"/>
    </xf>
    <xf numFmtId="0" fontId="5" fillId="0" borderId="0">
      <alignment/>
      <protection/>
    </xf>
    <xf numFmtId="0" fontId="3" fillId="0" borderId="0">
      <alignment/>
      <protection/>
    </xf>
    <xf numFmtId="0" fontId="7" fillId="0" borderId="0">
      <alignment vertical="top"/>
      <protection locked="0"/>
    </xf>
    <xf numFmtId="9" fontId="7" fillId="0" borderId="0" applyFont="0" applyFill="0" applyBorder="0" applyAlignment="0" applyProtection="0"/>
    <xf numFmtId="0" fontId="9" fillId="0" borderId="0" applyBorder="0">
      <alignment/>
      <protection/>
    </xf>
    <xf numFmtId="0" fontId="9" fillId="0" borderId="0" applyNumberFormat="0" applyBorder="0" applyAlignment="0">
      <protection/>
    </xf>
    <xf numFmtId="0" fontId="5" fillId="0" borderId="0">
      <alignment/>
      <protection/>
    </xf>
    <xf numFmtId="0" fontId="7" fillId="0" borderId="0">
      <alignment vertical="top"/>
      <protection locked="0"/>
    </xf>
    <xf numFmtId="9" fontId="7" fillId="0" borderId="0" applyFont="0" applyFill="0" applyBorder="0" applyAlignment="0" applyProtection="0"/>
    <xf numFmtId="0" fontId="0" fillId="0" borderId="0">
      <alignment/>
      <protection/>
    </xf>
    <xf numFmtId="0" fontId="0" fillId="6" borderId="3" applyNumberFormat="0" applyFont="0" applyAlignment="0" applyProtection="0"/>
    <xf numFmtId="0" fontId="15" fillId="7" borderId="4" applyNumberFormat="0" applyAlignment="0" applyProtection="0"/>
    <xf numFmtId="0" fontId="16" fillId="7" borderId="1" applyNumberFormat="0" applyAlignment="0" applyProtection="0"/>
    <xf numFmtId="0" fontId="17" fillId="8" borderId="5" applyNumberFormat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6" borderId="3" applyNumberFormat="0" applyFont="0" applyAlignment="0" applyProtection="0"/>
  </cellStyleXfs>
  <cellXfs count="11">
    <xf numFmtId="0" fontId="0" fillId="0" borderId="0" xfId="0"/>
    <xf numFmtId="0" fontId="2" fillId="0" borderId="0" xfId="28" applyFont="1">
      <alignment/>
      <protection/>
    </xf>
    <xf numFmtId="9" fontId="0" fillId="0" borderId="0" xfId="0" applyNumberFormat="1"/>
    <xf numFmtId="0" fontId="8" fillId="0" borderId="6" xfId="0" applyFont="1" applyBorder="1"/>
    <xf numFmtId="0" fontId="8" fillId="20" borderId="0" xfId="0" applyFont="1" applyFill="1"/>
    <xf numFmtId="0" fontId="6" fillId="0" borderId="0" xfId="32" applyFont="1">
      <protection/>
    </xf>
    <xf numFmtId="0" fontId="4" fillId="20" borderId="0" xfId="0" applyFont="1" applyFill="1"/>
    <xf numFmtId="0" fontId="4" fillId="20" borderId="0" xfId="0" applyFont="1" applyFill="1" applyAlignment="1">
      <alignment horizontal="right"/>
    </xf>
    <xf numFmtId="0" fontId="0" fillId="0" borderId="0" xfId="34" applyFont="1" applyAlignment="1" applyProtection="1">
      <alignment/>
      <protection/>
    </xf>
    <xf numFmtId="0" fontId="0" fillId="0" borderId="0" xfId="26" applyFont="1" applyAlignment="1" applyProtection="1">
      <alignment/>
      <protection/>
    </xf>
    <xf numFmtId="0" fontId="9" fillId="0" borderId="0" xfId="0" applyFont="1"/>
  </cellXfs>
  <cellStyles count="5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Input 2" xfId="20"/>
    <cellStyle name="Neutral 2" xfId="21"/>
    <cellStyle name="Bad 2" xfId="22"/>
    <cellStyle name="Good 2" xfId="23"/>
    <cellStyle name="Heading 2 2" xfId="24"/>
    <cellStyle name="Percent 4" xfId="25"/>
    <cellStyle name="Normal 5" xfId="26"/>
    <cellStyle name="Normal 10" xfId="27"/>
    <cellStyle name="Normale_Scen_UC_IND-StrucConst" xfId="28"/>
    <cellStyle name="Normal 3" xfId="29"/>
    <cellStyle name="Percent 2" xfId="30"/>
    <cellStyle name="Normal 2" xfId="31"/>
    <cellStyle name="Normal 2 2" xfId="32"/>
    <cellStyle name="Standard_Sce_D_Extraction" xfId="33"/>
    <cellStyle name="Normal 4" xfId="34"/>
    <cellStyle name="Percent 3" xfId="35"/>
    <cellStyle name="Normal 3 2" xfId="36"/>
    <cellStyle name="Note 2" xfId="37"/>
    <cellStyle name="Output 2" xfId="38"/>
    <cellStyle name="Calculation 2" xfId="39"/>
    <cellStyle name="Check Cell 2" xfId="40"/>
    <cellStyle name="Accent1 2" xfId="41"/>
    <cellStyle name="20% - Accent1 2" xfId="42"/>
    <cellStyle name="40% - Accent1 2" xfId="43"/>
    <cellStyle name="60% - Accent1 2" xfId="44"/>
    <cellStyle name="Accent2 2" xfId="45"/>
    <cellStyle name="20% - Accent2 2" xfId="46"/>
    <cellStyle name="40% - Accent2 2" xfId="47"/>
    <cellStyle name="60% - Accent2 2" xfId="48"/>
    <cellStyle name="Accent3 2" xfId="49"/>
    <cellStyle name="20% - Accent3 2" xfId="50"/>
    <cellStyle name="40% - Accent3 2" xfId="51"/>
    <cellStyle name="60% - Accent3 2" xfId="52"/>
    <cellStyle name="Accent4 2" xfId="53"/>
    <cellStyle name="20% - Accent4 2" xfId="54"/>
    <cellStyle name="40% - Accent4 2" xfId="55"/>
    <cellStyle name="60% - Accent4 2" xfId="56"/>
    <cellStyle name="Accent5 2" xfId="57"/>
    <cellStyle name="20% - Accent5 2" xfId="58"/>
    <cellStyle name="40% - Accent5 2" xfId="59"/>
    <cellStyle name="60% - Accent5 2" xfId="60"/>
    <cellStyle name="Accent6 2" xfId="61"/>
    <cellStyle name="20% - Accent6 2" xfId="62"/>
    <cellStyle name="40% - Accent6 2" xfId="63"/>
    <cellStyle name="60% - Accent6 2" xfId="64"/>
    <cellStyle name="Note 2 2" xfId="6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alcChain" Target="calcChain.xml" /><Relationship Id="rId6" Type="http://schemas.openxmlformats.org/officeDocument/2006/relationships/worksheet" Target="worksheets/sheet4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 2007 - 2010">
  <a:themeElements>
    <a:clrScheme name="EML2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307C98"/>
      </a:accent1>
      <a:accent2>
        <a:srgbClr val="794F83"/>
      </a:accent2>
      <a:accent3>
        <a:srgbClr val="3A9C54"/>
      </a:accent3>
      <a:accent4>
        <a:srgbClr val="41B1A9"/>
      </a:accent4>
      <a:accent5>
        <a:srgbClr val="BB4A47"/>
      </a:accent5>
      <a:accent6>
        <a:srgbClr val="EDB109"/>
      </a:accent6>
      <a:hlink>
        <a:srgbClr val="245D72"/>
      </a:hlink>
      <a:folHlink>
        <a:srgbClr val="173E4C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90D27B-DCB3-4C45-8C25-2139168F00E1}">
  <dimension ref="A1:G28"/>
  <sheetViews>
    <sheetView zoomScale="76" zoomScaleNormal="76" workbookViewId="0" topLeftCell="A1">
      <selection pane="topLeft" activeCell="F28" sqref="F28"/>
    </sheetView>
  </sheetViews>
  <sheetFormatPr defaultRowHeight="15"/>
  <cols>
    <col min="3" max="3" width="11.4285714285714" bestFit="1" customWidth="1"/>
    <col min="6" max="6" width="20.2857142857143" bestFit="1" customWidth="1"/>
  </cols>
  <sheetData>
    <row r="1" spans="2:2" ht="15">
      <c r="B1" s="5" t="s">
        <v>37</v>
      </c>
    </row>
    <row r="2" spans="1:7" ht="15">
      <c r="A2" s="3"/>
      <c r="B2" s="4" t="s">
        <v>38</v>
      </c>
      <c r="C2" s="4" t="s">
        <v>5</v>
      </c>
      <c r="D2" s="4" t="s">
        <v>2</v>
      </c>
      <c r="E2" s="4" t="s">
        <v>39</v>
      </c>
      <c r="F2" s="4" t="s">
        <v>3</v>
      </c>
      <c r="G2" s="4" t="s">
        <v>64</v>
      </c>
    </row>
    <row r="3" spans="2:7" ht="15">
      <c r="B3" t="s">
        <v>42</v>
      </c>
      <c r="C3" t="s">
        <v>41</v>
      </c>
      <c r="D3">
        <v>2022</v>
      </c>
      <c r="E3" t="s">
        <v>40</v>
      </c>
      <c r="F3" t="s">
        <v>13</v>
      </c>
      <c r="G3">
        <v>953.47000000000003</v>
      </c>
    </row>
    <row r="4" spans="2:7" ht="15">
      <c r="B4" t="s">
        <v>42</v>
      </c>
      <c r="C4" t="s">
        <v>41</v>
      </c>
      <c r="D4">
        <v>2022</v>
      </c>
      <c r="E4" t="s">
        <v>40</v>
      </c>
      <c r="F4" t="s">
        <v>14</v>
      </c>
    </row>
    <row r="5" spans="2:7" ht="15">
      <c r="B5" t="s">
        <v>42</v>
      </c>
      <c r="C5" t="s">
        <v>41</v>
      </c>
      <c r="D5">
        <v>2022</v>
      </c>
      <c r="E5" t="s">
        <v>40</v>
      </c>
      <c r="F5" t="s">
        <v>15</v>
      </c>
      <c r="G5">
        <v>58.079999999999998</v>
      </c>
    </row>
    <row r="6" spans="2:7" ht="15">
      <c r="B6" t="s">
        <v>42</v>
      </c>
      <c r="C6" t="s">
        <v>41</v>
      </c>
      <c r="D6">
        <v>2022</v>
      </c>
      <c r="E6" t="s">
        <v>40</v>
      </c>
      <c r="F6" t="s">
        <v>16</v>
      </c>
      <c r="G6">
        <v>127.38</v>
      </c>
    </row>
    <row r="7" spans="2:7" ht="15">
      <c r="B7" t="s">
        <v>42</v>
      </c>
      <c r="C7" t="s">
        <v>41</v>
      </c>
      <c r="D7">
        <v>2022</v>
      </c>
      <c r="E7" t="s">
        <v>40</v>
      </c>
      <c r="F7" t="s">
        <v>17</v>
      </c>
    </row>
    <row r="8" spans="2:7" ht="15">
      <c r="B8" t="s">
        <v>42</v>
      </c>
      <c r="C8" t="s">
        <v>41</v>
      </c>
      <c r="D8">
        <v>2022</v>
      </c>
      <c r="E8" t="s">
        <v>40</v>
      </c>
      <c r="F8" t="s">
        <v>18</v>
      </c>
      <c r="G8">
        <v>2.5760000000000001</v>
      </c>
    </row>
    <row r="9" spans="2:7" ht="15">
      <c r="B9" t="s">
        <v>42</v>
      </c>
      <c r="C9" t="s">
        <v>41</v>
      </c>
      <c r="D9">
        <v>2022</v>
      </c>
      <c r="E9" t="s">
        <v>40</v>
      </c>
      <c r="F9" t="s">
        <v>19</v>
      </c>
      <c r="G9">
        <v>2.29</v>
      </c>
    </row>
    <row r="10" spans="2:7" ht="15">
      <c r="B10" t="s">
        <v>42</v>
      </c>
      <c r="C10" t="s">
        <v>41</v>
      </c>
      <c r="D10">
        <v>2022</v>
      </c>
      <c r="E10" t="s">
        <v>40</v>
      </c>
      <c r="F10" t="s">
        <v>20</v>
      </c>
      <c r="G10">
        <v>54.409999999999997</v>
      </c>
    </row>
    <row r="11" spans="2:7" ht="15">
      <c r="B11" t="s">
        <v>42</v>
      </c>
      <c r="C11" t="s">
        <v>41</v>
      </c>
      <c r="D11">
        <v>2022</v>
      </c>
      <c r="E11" t="s">
        <v>40</v>
      </c>
      <c r="F11" t="s">
        <v>21</v>
      </c>
      <c r="G11">
        <v>4.8399999999999999</v>
      </c>
    </row>
    <row r="12" spans="2:7" ht="15">
      <c r="B12" t="s">
        <v>42</v>
      </c>
      <c r="C12" t="s">
        <v>41</v>
      </c>
      <c r="D12">
        <v>2022</v>
      </c>
      <c r="E12" t="s">
        <v>40</v>
      </c>
      <c r="F12" t="s">
        <v>22</v>
      </c>
      <c r="G12">
        <v>0</v>
      </c>
    </row>
    <row r="13" spans="2:7" ht="15">
      <c r="B13" t="s">
        <v>42</v>
      </c>
      <c r="C13" t="s">
        <v>41</v>
      </c>
      <c r="D13">
        <v>2022</v>
      </c>
      <c r="E13" t="s">
        <v>40</v>
      </c>
      <c r="F13" t="s">
        <v>23</v>
      </c>
      <c r="G13">
        <v>0</v>
      </c>
    </row>
    <row r="14" spans="2:7" ht="15">
      <c r="B14" t="s">
        <v>42</v>
      </c>
      <c r="C14" t="s">
        <v>41</v>
      </c>
      <c r="D14">
        <v>2022</v>
      </c>
      <c r="E14" t="s">
        <v>40</v>
      </c>
      <c r="F14" t="s">
        <v>24</v>
      </c>
      <c r="G14">
        <v>0</v>
      </c>
    </row>
    <row r="15" spans="2:7" ht="15">
      <c r="B15" t="s">
        <v>42</v>
      </c>
      <c r="C15" t="s">
        <v>41</v>
      </c>
      <c r="D15">
        <v>2022</v>
      </c>
      <c r="E15" t="s">
        <v>40</v>
      </c>
      <c r="F15" t="s">
        <v>25</v>
      </c>
      <c r="G15">
        <v>0</v>
      </c>
    </row>
    <row r="16" spans="2:7" ht="15">
      <c r="B16" t="s">
        <v>42</v>
      </c>
      <c r="C16" t="s">
        <v>41</v>
      </c>
      <c r="D16">
        <v>2022</v>
      </c>
      <c r="E16" t="s">
        <v>40</v>
      </c>
      <c r="F16" t="s">
        <v>26</v>
      </c>
      <c r="G16">
        <v>0</v>
      </c>
    </row>
    <row r="17" spans="2:7" ht="15">
      <c r="B17" t="s">
        <v>42</v>
      </c>
      <c r="C17" t="s">
        <v>41</v>
      </c>
      <c r="D17">
        <v>2022</v>
      </c>
      <c r="E17" t="s">
        <v>40</v>
      </c>
      <c r="F17" t="s">
        <v>27</v>
      </c>
      <c r="G17">
        <v>0</v>
      </c>
    </row>
    <row r="18" spans="2:7" ht="15">
      <c r="B18" t="s">
        <v>42</v>
      </c>
      <c r="C18" t="s">
        <v>41</v>
      </c>
      <c r="D18">
        <v>2022</v>
      </c>
      <c r="E18" t="s">
        <v>40</v>
      </c>
      <c r="F18" t="s">
        <v>28</v>
      </c>
      <c r="G18">
        <v>0</v>
      </c>
    </row>
    <row r="19" spans="2:7" ht="15">
      <c r="B19" t="s">
        <v>42</v>
      </c>
      <c r="C19" t="s">
        <v>41</v>
      </c>
      <c r="D19">
        <v>2022</v>
      </c>
      <c r="E19" t="s">
        <v>40</v>
      </c>
      <c r="F19" t="s">
        <v>29</v>
      </c>
    </row>
    <row r="20" spans="2:7" ht="15">
      <c r="B20" t="s">
        <v>42</v>
      </c>
      <c r="C20" t="s">
        <v>41</v>
      </c>
      <c r="D20">
        <v>2022</v>
      </c>
      <c r="E20" t="s">
        <v>40</v>
      </c>
      <c r="F20" t="s">
        <v>30</v>
      </c>
      <c r="G20">
        <v>0</v>
      </c>
    </row>
    <row r="21" spans="2:7" ht="15">
      <c r="B21" t="s">
        <v>42</v>
      </c>
      <c r="C21" t="s">
        <v>41</v>
      </c>
      <c r="D21">
        <v>2022</v>
      </c>
      <c r="E21" t="s">
        <v>40</v>
      </c>
      <c r="F21" t="s">
        <v>31</v>
      </c>
      <c r="G21">
        <v>0</v>
      </c>
    </row>
    <row r="22" spans="2:7" ht="15">
      <c r="B22" t="s">
        <v>42</v>
      </c>
      <c r="C22" t="s">
        <v>41</v>
      </c>
      <c r="D22">
        <v>2022</v>
      </c>
      <c r="E22" t="s">
        <v>40</v>
      </c>
      <c r="F22" t="s">
        <v>32</v>
      </c>
    </row>
    <row r="23" spans="2:7" ht="15">
      <c r="B23" t="s">
        <v>42</v>
      </c>
      <c r="C23" t="s">
        <v>41</v>
      </c>
      <c r="D23">
        <v>2022</v>
      </c>
      <c r="E23" t="s">
        <v>40</v>
      </c>
      <c r="F23" t="s">
        <v>33</v>
      </c>
      <c r="G23">
        <v>0.64400000000000002</v>
      </c>
    </row>
    <row r="24" spans="2:7" ht="15">
      <c r="B24" t="s">
        <v>42</v>
      </c>
      <c r="C24" t="s">
        <v>41</v>
      </c>
      <c r="D24">
        <v>2022</v>
      </c>
      <c r="E24" t="s">
        <v>40</v>
      </c>
      <c r="F24" t="s">
        <v>34</v>
      </c>
      <c r="G24">
        <v>0</v>
      </c>
    </row>
    <row r="25" spans="2:7" ht="15">
      <c r="B25" t="s">
        <v>42</v>
      </c>
      <c r="C25" t="s">
        <v>41</v>
      </c>
      <c r="D25">
        <v>2022</v>
      </c>
      <c r="E25" t="s">
        <v>40</v>
      </c>
      <c r="F25" t="s">
        <v>35</v>
      </c>
      <c r="G25">
        <v>0</v>
      </c>
    </row>
    <row r="26" spans="2:7" ht="15">
      <c r="B26" t="s">
        <v>42</v>
      </c>
      <c r="C26" t="s">
        <v>41</v>
      </c>
      <c r="D26">
        <v>2022</v>
      </c>
      <c r="E26" t="s">
        <v>40</v>
      </c>
      <c r="F26" t="s">
        <v>36</v>
      </c>
      <c r="G26">
        <v>0</v>
      </c>
    </row>
    <row r="27" spans="2:7" ht="15">
      <c r="B27" t="s">
        <v>42</v>
      </c>
      <c r="C27" t="s">
        <v>41</v>
      </c>
      <c r="D27">
        <v>2022</v>
      </c>
      <c r="E27" t="s">
        <v>40</v>
      </c>
      <c r="F27" s="9" t="s">
        <v>62</v>
      </c>
      <c r="G27" s="8">
        <v>27980</v>
      </c>
    </row>
    <row r="28" spans="2:7" ht="15">
      <c r="B28" t="s">
        <v>42</v>
      </c>
      <c r="C28" t="s">
        <v>41</v>
      </c>
      <c r="D28">
        <v>2022</v>
      </c>
      <c r="E28" t="s">
        <v>40</v>
      </c>
      <c r="F28" t="s">
        <v>63</v>
      </c>
      <c r="G28">
        <v>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A09CCD-C136-4595-90DA-718D0135EC64}">
  <dimension ref="B1:G16"/>
  <sheetViews>
    <sheetView workbookViewId="0" topLeftCell="A1">
      <selection pane="topLeft" activeCell="G3" sqref="G3"/>
    </sheetView>
  </sheetViews>
  <sheetFormatPr defaultRowHeight="15"/>
  <cols>
    <col min="3" max="3" width="12" bestFit="1" customWidth="1"/>
    <col min="6" max="6" width="21.8571428571429" bestFit="1" customWidth="1"/>
  </cols>
  <sheetData>
    <row r="1" spans="2:2" ht="15">
      <c r="B1" s="5" t="s">
        <v>37</v>
      </c>
    </row>
    <row r="2" spans="2:7" ht="15">
      <c r="B2" s="4" t="s">
        <v>38</v>
      </c>
      <c r="C2" s="4" t="s">
        <v>5</v>
      </c>
      <c r="D2" s="4" t="s">
        <v>2</v>
      </c>
      <c r="E2" s="4" t="s">
        <v>39</v>
      </c>
      <c r="F2" s="4" t="s">
        <v>3</v>
      </c>
      <c r="G2" s="4" t="s">
        <v>64</v>
      </c>
    </row>
    <row r="3" spans="2:7" ht="15">
      <c r="B3" t="s">
        <v>42</v>
      </c>
      <c r="C3" t="s">
        <v>41</v>
      </c>
      <c r="D3">
        <v>2022</v>
      </c>
      <c r="E3" t="s">
        <v>40</v>
      </c>
      <c r="F3" s="10" t="s">
        <v>45</v>
      </c>
    </row>
    <row r="4" spans="2:7" ht="15">
      <c r="B4" t="s">
        <v>42</v>
      </c>
      <c r="C4" t="s">
        <v>41</v>
      </c>
      <c r="D4">
        <v>2022</v>
      </c>
      <c r="E4" t="s">
        <v>40</v>
      </c>
      <c r="F4" s="10" t="s">
        <v>46</v>
      </c>
    </row>
    <row r="5" spans="2:7" ht="15">
      <c r="B5" t="s">
        <v>42</v>
      </c>
      <c r="C5" t="s">
        <v>41</v>
      </c>
      <c r="D5">
        <v>2022</v>
      </c>
      <c r="E5" t="s">
        <v>40</v>
      </c>
      <c r="F5" s="10" t="s">
        <v>47</v>
      </c>
    </row>
    <row r="6" spans="2:7" ht="15">
      <c r="B6" t="s">
        <v>42</v>
      </c>
      <c r="C6" t="s">
        <v>41</v>
      </c>
      <c r="D6">
        <v>2022</v>
      </c>
      <c r="E6" t="s">
        <v>40</v>
      </c>
      <c r="F6" s="10" t="s">
        <v>48</v>
      </c>
      <c r="G6">
        <v>148.83500000000001</v>
      </c>
    </row>
    <row r="7" spans="2:7" ht="15">
      <c r="B7" t="s">
        <v>42</v>
      </c>
      <c r="C7" t="s">
        <v>41</v>
      </c>
      <c r="D7">
        <v>2022</v>
      </c>
      <c r="E7" t="s">
        <v>40</v>
      </c>
      <c r="F7" s="10" t="s">
        <v>49</v>
      </c>
      <c r="G7">
        <v>546.44000000000005</v>
      </c>
    </row>
    <row r="8" spans="2:7" ht="15">
      <c r="B8" t="s">
        <v>42</v>
      </c>
      <c r="C8" t="s">
        <v>41</v>
      </c>
      <c r="D8">
        <v>2022</v>
      </c>
      <c r="E8" t="s">
        <v>40</v>
      </c>
      <c r="F8" s="10" t="s">
        <v>50</v>
      </c>
      <c r="G8">
        <v>6</v>
      </c>
    </row>
    <row r="9" spans="2:7" ht="15">
      <c r="B9" t="s">
        <v>42</v>
      </c>
      <c r="C9" t="s">
        <v>41</v>
      </c>
      <c r="D9">
        <v>2022</v>
      </c>
      <c r="E9" t="s">
        <v>40</v>
      </c>
      <c r="F9" s="10" t="s">
        <v>51</v>
      </c>
      <c r="G9">
        <v>53.328000000000003</v>
      </c>
    </row>
    <row r="10" spans="2:7" ht="15">
      <c r="B10" t="s">
        <v>42</v>
      </c>
      <c r="C10" t="s">
        <v>41</v>
      </c>
      <c r="D10">
        <v>2022</v>
      </c>
      <c r="E10" t="s">
        <v>40</v>
      </c>
      <c r="F10" s="10" t="s">
        <v>52</v>
      </c>
    </row>
    <row r="11" spans="2:7" ht="15">
      <c r="B11" t="s">
        <v>42</v>
      </c>
      <c r="C11" t="s">
        <v>41</v>
      </c>
      <c r="D11">
        <v>2022</v>
      </c>
      <c r="E11" t="s">
        <v>40</v>
      </c>
      <c r="F11" s="10" t="s">
        <v>53</v>
      </c>
    </row>
    <row r="12" spans="2:7" ht="15">
      <c r="B12" t="s">
        <v>42</v>
      </c>
      <c r="C12" t="s">
        <v>41</v>
      </c>
      <c r="D12">
        <v>2022</v>
      </c>
      <c r="E12" t="s">
        <v>40</v>
      </c>
      <c r="F12" s="10" t="s">
        <v>54</v>
      </c>
      <c r="G12">
        <v>170.41999999999999</v>
      </c>
    </row>
    <row r="13" spans="2:7" ht="15">
      <c r="B13" t="s">
        <v>42</v>
      </c>
      <c r="C13" t="s">
        <v>41</v>
      </c>
      <c r="D13">
        <v>2022</v>
      </c>
      <c r="E13" t="s">
        <v>40</v>
      </c>
      <c r="F13" s="10" t="s">
        <v>55</v>
      </c>
      <c r="G13">
        <v>70.813500000000005</v>
      </c>
    </row>
    <row r="14" spans="2:7" ht="15">
      <c r="B14" t="s">
        <v>42</v>
      </c>
      <c r="C14" t="s">
        <v>41</v>
      </c>
      <c r="D14">
        <v>2022</v>
      </c>
      <c r="E14" t="s">
        <v>40</v>
      </c>
      <c r="F14" s="10" t="s">
        <v>56</v>
      </c>
      <c r="G14">
        <v>637.32150000000001</v>
      </c>
    </row>
    <row r="15" spans="2:7" ht="15">
      <c r="B15" t="s">
        <v>42</v>
      </c>
      <c r="C15" t="s">
        <v>41</v>
      </c>
      <c r="D15">
        <v>2022</v>
      </c>
      <c r="E15" t="s">
        <v>40</v>
      </c>
      <c r="F15" s="10" t="s">
        <v>57</v>
      </c>
      <c r="G15">
        <v>11582.6895</v>
      </c>
    </row>
    <row r="16" spans="7:7" ht="15">
      <c r="G1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 topLeftCell="A1">
      <selection pane="topLeft" activeCell="G5" sqref="G5"/>
    </sheetView>
  </sheetViews>
  <sheetFormatPr defaultRowHeight="15"/>
  <cols>
    <col min="2" max="2" width="21.8571428571429" bestFit="1" customWidth="1"/>
    <col min="3" max="3" width="48.5714285714286" bestFit="1" customWidth="1"/>
    <col min="7" max="7" width="10.5714285714286" bestFit="1" customWidth="1"/>
    <col min="8" max="10" width="10.5714285714286" customWidth="1"/>
  </cols>
  <sheetData>
    <row r="1" spans="1:1" ht="15">
      <c r="A1" t="s">
        <v>9</v>
      </c>
    </row>
    <row r="2" spans="2:10" ht="15">
      <c r="B2" s="1" t="s">
        <v>0</v>
      </c>
      <c r="I2" t="s">
        <v>43</v>
      </c>
      <c r="J2" s="2">
        <v>1</v>
      </c>
    </row>
    <row r="3" spans="2:2" ht="15">
      <c r="B3" s="1" t="s">
        <v>7</v>
      </c>
    </row>
    <row r="4" spans="5:5" ht="15">
      <c r="E4" t="s">
        <v>10</v>
      </c>
    </row>
    <row r="5" spans="2:8" ht="15">
      <c r="B5" s="6" t="s">
        <v>1</v>
      </c>
      <c r="C5" s="6" t="s">
        <v>3</v>
      </c>
      <c r="D5" s="6" t="s">
        <v>2</v>
      </c>
      <c r="E5" s="6" t="s">
        <v>6</v>
      </c>
      <c r="F5" s="7" t="s">
        <v>4</v>
      </c>
      <c r="G5" s="6" t="s">
        <v>64</v>
      </c>
      <c r="H5" s="6" t="s">
        <v>8</v>
      </c>
    </row>
    <row r="6" spans="2:8" ht="15">
      <c r="B6" t="s">
        <v>11</v>
      </c>
      <c r="C6" t="s">
        <v>61</v>
      </c>
      <c r="D6">
        <v>0</v>
      </c>
      <c r="E6" t="s">
        <v>12</v>
      </c>
      <c r="F6">
        <v>1</v>
      </c>
      <c r="G6">
        <v>5</v>
      </c>
      <c r="H6" t="s">
        <v>44</v>
      </c>
    </row>
    <row r="7" spans="3:7" ht="15">
      <c r="C7" t="s">
        <v>61</v>
      </c>
      <c r="D7">
        <v>2022</v>
      </c>
      <c r="E7" t="s">
        <v>12</v>
      </c>
      <c r="F7">
        <v>1</v>
      </c>
      <c r="G7" s="8">
        <f>SUM(FillTableArea!G:G)</f>
        <v>30696.689999999999</v>
      </c>
    </row>
    <row r="8" spans="3:7" ht="15">
      <c r="C8" t="s">
        <v>61</v>
      </c>
      <c r="D8">
        <v>2050</v>
      </c>
      <c r="E8" t="s">
        <v>12</v>
      </c>
      <c r="F8">
        <v>1</v>
      </c>
      <c r="G8">
        <f>G7*$J$2</f>
        <v>30696.689999999999</v>
      </c>
    </row>
    <row r="10" spans="7:7" ht="15">
      <c r="G10" s="8"/>
    </row>
  </sheetData>
  <pageMargins left="0.7" right="0.7" top="0.75" bottom="0.75" header="0.3" footer="0.3"/>
  <pageSetup orientation="portrait" paperSize="1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403B59-9300-4DF3-AA0A-2EB79289B995}">
  <dimension ref="A1:I31"/>
  <sheetViews>
    <sheetView tabSelected="1" workbookViewId="0" topLeftCell="A1">
      <selection pane="topLeft" activeCell="F6" sqref="F6:F31"/>
    </sheetView>
  </sheetViews>
  <sheetFormatPr defaultRowHeight="15"/>
  <cols>
    <col min="2" max="2" width="24.2857142857143" bestFit="1" customWidth="1"/>
    <col min="3" max="3" width="27" bestFit="1" customWidth="1"/>
    <col min="6" max="6" width="15.5714285714286" bestFit="1" customWidth="1"/>
    <col min="7" max="7" width="10.8571428571429" bestFit="1" customWidth="1"/>
    <col min="9" max="9" width="57.2857142857143" bestFit="1" customWidth="1"/>
  </cols>
  <sheetData>
    <row r="1" spans="1:1" ht="15">
      <c r="A1" t="s">
        <v>9</v>
      </c>
    </row>
    <row r="2" spans="2:8" ht="15">
      <c r="B2" s="1" t="s">
        <v>0</v>
      </c>
      <c r="G2" s="2"/>
      <c r="H2" s="2"/>
    </row>
    <row r="3" spans="2:2" ht="15">
      <c r="B3" s="1" t="s">
        <v>7</v>
      </c>
    </row>
    <row r="4" spans="5:5" ht="15">
      <c r="E4" t="s">
        <v>10</v>
      </c>
    </row>
    <row r="5" spans="2:9" ht="15">
      <c r="B5" s="6" t="s">
        <v>1</v>
      </c>
      <c r="C5" s="6" t="s">
        <v>3</v>
      </c>
      <c r="D5" s="6" t="s">
        <v>2</v>
      </c>
      <c r="E5" s="6" t="s">
        <v>6</v>
      </c>
      <c r="F5" s="7" t="s">
        <v>65</v>
      </c>
      <c r="G5" s="6" t="s">
        <v>59</v>
      </c>
      <c r="H5" s="6" t="s">
        <v>60</v>
      </c>
      <c r="I5" s="6" t="s">
        <v>8</v>
      </c>
    </row>
    <row r="6" spans="2:9" ht="15">
      <c r="B6" t="str">
        <f>IF(MID(C6,4,3)="LIV",IF(SUM(F7:F7)=0,"\I:","UC_"&amp;MID(C6,10,3)&amp;"_Pasture"),IF(B5&lt;&gt;"\I:","","\I:"))</f>
        <v>\I:</v>
      </c>
      <c r="C6" s="10" t="s">
        <v>45</v>
      </c>
      <c r="D6">
        <v>2022</v>
      </c>
      <c r="E6" t="s">
        <v>12</v>
      </c>
      <c r="F6">
        <f>IF(MID($C6,4,3)&lt;&gt;"PAS",1,-SUMIF(FillTableGrassing!$F:$F,GrassingPastures!$C5,FillTableGrassing!G:G)/FillTableArea!G$28)</f>
        <v>1</v>
      </c>
      <c r="G6" s="8">
        <f>IF(B6&lt;&gt;"",0,"")</f>
        <v>0</v>
      </c>
      <c r="H6" s="8">
        <f t="shared" si="0" ref="H6:H31">IF(B6&lt;&gt;"",5,"")</f>
        <v>5</v>
      </c>
      <c r="I6" t="str">
        <f t="shared" si="1" ref="I6:I31">IF(B6&lt;&gt;"","Restriction on the grassing "&amp;MID(C6,10,3)&amp;" to fit with area use of pasture","")</f>
        <v>Restriction on the grassing ASS to fit with area use of pasture</v>
      </c>
    </row>
    <row r="7" spans="2:9" ht="15">
      <c r="B7" t="str">
        <f t="shared" si="2" ref="B7:B31">IF(MID(C7,4,3)="LIV",IF(SUM(F8:F8)=0,"\I:","UC_"&amp;MID(C7,10,3)&amp;"_Pasture"),IF(B6&lt;&gt;"\I:","","\I:"))</f>
        <v>\I:</v>
      </c>
      <c r="C7" t="s">
        <v>63</v>
      </c>
      <c r="D7">
        <v>2022</v>
      </c>
      <c r="E7" t="s">
        <v>12</v>
      </c>
      <c r="F7">
        <f>IF(MID($C7,4,3)&lt;&gt;"PAS",1,-SUMIF(FillTableGrassing!$F:$F,GrassingPastures!$C6,FillTableGrassing!G:G)/FillTableArea!G$28)</f>
        <v>0</v>
      </c>
      <c r="G7" s="8">
        <f t="shared" si="3" ref="G6:G31">IF(B7&lt;&gt;"",0,"")</f>
        <v>0</v>
      </c>
      <c r="H7" s="8">
        <f t="shared" si="0"/>
        <v>5</v>
      </c>
      <c r="I7" t="str">
        <f t="shared" si="1"/>
        <v>Restriction on the grassing GEP to fit with area use of pasture</v>
      </c>
    </row>
    <row r="8" spans="2:9" ht="15">
      <c r="B8" t="str">
        <f t="shared" si="2"/>
        <v>\I:</v>
      </c>
      <c r="C8" s="10" t="s">
        <v>46</v>
      </c>
      <c r="D8">
        <v>2022</v>
      </c>
      <c r="E8" t="s">
        <v>12</v>
      </c>
      <c r="F8">
        <f>IF(MID($C8,4,3)&lt;&gt;"PAS",1,-SUMIF(FillTableGrassing!$F:$F,GrassingPastures!$C7,FillTableGrassing!G:G)/FillTableArea!G$28)</f>
        <v>1</v>
      </c>
      <c r="G8" s="8">
        <f t="shared" si="3"/>
        <v>0</v>
      </c>
      <c r="H8" s="8">
        <f t="shared" si="0"/>
        <v>5</v>
      </c>
      <c r="I8" t="str">
        <f t="shared" si="1"/>
        <v>Restriction on the grassing BUF to fit with area use of pasture</v>
      </c>
    </row>
    <row r="9" spans="2:9" ht="15">
      <c r="B9" t="str">
        <f t="shared" si="2"/>
        <v>\I:</v>
      </c>
      <c r="C9" t="s">
        <v>63</v>
      </c>
      <c r="D9">
        <v>2022</v>
      </c>
      <c r="E9" t="s">
        <v>12</v>
      </c>
      <c r="F9">
        <f>IF(MID($C9,4,3)&lt;&gt;"PAS",1,-SUMIF(FillTableGrassing!$F:$F,GrassingPastures!$C8,FillTableGrassing!G:G)/FillTableArea!G$28)</f>
        <v>0</v>
      </c>
      <c r="G9" s="8">
        <f t="shared" si="3"/>
        <v>0</v>
      </c>
      <c r="H9" s="8">
        <f t="shared" si="0"/>
        <v>5</v>
      </c>
      <c r="I9" t="str">
        <f t="shared" si="1"/>
        <v>Restriction on the grassing GEP to fit with area use of pasture</v>
      </c>
    </row>
    <row r="10" spans="2:9" ht="15">
      <c r="B10" t="str">
        <f t="shared" si="2"/>
        <v>\I:</v>
      </c>
      <c r="C10" s="10" t="s">
        <v>47</v>
      </c>
      <c r="D10">
        <v>2022</v>
      </c>
      <c r="E10" t="s">
        <v>12</v>
      </c>
      <c r="F10">
        <f>IF(MID($C10,4,3)&lt;&gt;"PAS",1,-SUMIF(FillTableGrassing!$F:$F,GrassingPastures!$C9,FillTableGrassing!G:G)/FillTableArea!G$28)</f>
        <v>1</v>
      </c>
      <c r="G10" s="8">
        <f t="shared" si="3"/>
        <v>0</v>
      </c>
      <c r="H10" s="8">
        <f t="shared" si="0"/>
        <v>5</v>
      </c>
      <c r="I10" t="str">
        <f t="shared" si="1"/>
        <v>Restriction on the grassing CAM to fit with area use of pasture</v>
      </c>
    </row>
    <row r="11" spans="2:9" ht="15">
      <c r="B11" t="str">
        <f t="shared" si="2"/>
        <v>\I:</v>
      </c>
      <c r="C11" t="s">
        <v>63</v>
      </c>
      <c r="D11">
        <v>2022</v>
      </c>
      <c r="E11" t="s">
        <v>12</v>
      </c>
      <c r="F11">
        <f>IF(MID($C11,4,3)&lt;&gt;"PAS",1,-SUMIF(FillTableGrassing!$F:$F,GrassingPastures!$C10,FillTableGrassing!G:G)/FillTableArea!G$28)</f>
        <v>0</v>
      </c>
      <c r="G11" s="8">
        <f t="shared" si="3"/>
        <v>0</v>
      </c>
      <c r="H11" s="8">
        <f t="shared" si="0"/>
        <v>5</v>
      </c>
      <c r="I11" t="str">
        <f t="shared" si="1"/>
        <v>Restriction on the grassing GEP to fit with area use of pasture</v>
      </c>
    </row>
    <row r="12" spans="2:9" ht="15">
      <c r="B12" t="str">
        <f t="shared" si="2"/>
        <v>UC_CAD_Pasture</v>
      </c>
      <c r="C12" s="10" t="s">
        <v>48</v>
      </c>
      <c r="D12">
        <v>2022</v>
      </c>
      <c r="E12" t="s">
        <v>12</v>
      </c>
      <c r="F12">
        <f>IF(MID($C12,4,3)&lt;&gt;"PAS",1,-SUMIF(FillTableGrassing!$F:$F,GrassingPastures!$C11,FillTableGrassing!G:G)/FillTableArea!G$28)</f>
        <v>1</v>
      </c>
      <c r="G12" s="8">
        <f t="shared" si="3"/>
        <v>0</v>
      </c>
      <c r="H12" s="8">
        <f t="shared" si="0"/>
        <v>5</v>
      </c>
      <c r="I12" t="str">
        <f t="shared" si="1"/>
        <v>Restriction on the grassing CAD to fit with area use of pasture</v>
      </c>
    </row>
    <row r="13" spans="2:9" ht="15">
      <c r="B13" t="str">
        <f t="shared" si="2"/>
        <v/>
      </c>
      <c r="C13" t="s">
        <v>63</v>
      </c>
      <c r="D13">
        <v>2022</v>
      </c>
      <c r="E13" t="s">
        <v>12</v>
      </c>
      <c r="F13">
        <f>IF(MID($C13,4,3)&lt;&gt;"PAS",1,-SUMIF(FillTableGrassing!$F:$F,GrassingPastures!$C12,FillTableGrassing!G:G)/FillTableArea!G$28)</f>
        <v>-0.098370786516853936</v>
      </c>
      <c r="G13" s="8" t="str">
        <f t="shared" si="3"/>
        <v/>
      </c>
      <c r="H13" s="8" t="str">
        <f t="shared" si="0"/>
        <v/>
      </c>
      <c r="I13" t="str">
        <f t="shared" si="1"/>
        <v/>
      </c>
    </row>
    <row r="14" spans="2:9" ht="15">
      <c r="B14" t="str">
        <f t="shared" si="2"/>
        <v>UC_CAN_Pasture</v>
      </c>
      <c r="C14" s="10" t="s">
        <v>49</v>
      </c>
      <c r="D14">
        <v>2022</v>
      </c>
      <c r="E14" t="s">
        <v>12</v>
      </c>
      <c r="F14">
        <f>IF(MID($C14,4,3)&lt;&gt;"PAS",1,-SUMIF(FillTableGrassing!$F:$F,GrassingPastures!$C13,FillTableGrassing!G:G)/FillTableArea!G$28)</f>
        <v>1</v>
      </c>
      <c r="G14" s="8">
        <f t="shared" si="3"/>
        <v>0</v>
      </c>
      <c r="H14" s="8">
        <f t="shared" si="0"/>
        <v>5</v>
      </c>
      <c r="I14" t="str">
        <f t="shared" si="1"/>
        <v>Restriction on the grassing CAN to fit with area use of pasture</v>
      </c>
    </row>
    <row r="15" spans="2:9" ht="15">
      <c r="B15" t="str">
        <f t="shared" si="2"/>
        <v/>
      </c>
      <c r="C15" t="s">
        <v>63</v>
      </c>
      <c r="D15">
        <v>2022</v>
      </c>
      <c r="E15" t="s">
        <v>12</v>
      </c>
      <c r="F15">
        <f>IF(MID($C15,4,3)&lt;&gt;"PAS",1,-SUMIF(FillTableGrassing!$F:$F,GrassingPastures!$C14,FillTableGrassing!G:G)/FillTableArea!G$28)</f>
        <v>-0.36116325181758102</v>
      </c>
      <c r="G15" s="8" t="str">
        <f t="shared" si="3"/>
        <v/>
      </c>
      <c r="H15" s="8" t="str">
        <f t="shared" si="0"/>
        <v/>
      </c>
      <c r="I15" t="str">
        <f t="shared" si="1"/>
        <v/>
      </c>
    </row>
    <row r="16" spans="2:9" ht="15">
      <c r="B16" t="str">
        <f t="shared" si="2"/>
        <v>UC_GOA_Pasture</v>
      </c>
      <c r="C16" s="10" t="s">
        <v>50</v>
      </c>
      <c r="D16">
        <v>2022</v>
      </c>
      <c r="E16" t="s">
        <v>12</v>
      </c>
      <c r="F16">
        <f>IF(MID($C16,4,3)&lt;&gt;"PAS",1,-SUMIF(FillTableGrassing!$F:$F,GrassingPastures!$C15,FillTableGrassing!G:G)/FillTableArea!G$28)</f>
        <v>1</v>
      </c>
      <c r="G16" s="8">
        <f t="shared" si="3"/>
        <v>0</v>
      </c>
      <c r="H16" s="8">
        <f t="shared" si="0"/>
        <v>5</v>
      </c>
      <c r="I16" t="str">
        <f t="shared" si="1"/>
        <v>Restriction on the grassing GOA to fit with area use of pasture</v>
      </c>
    </row>
    <row r="17" spans="2:9" ht="15">
      <c r="B17" t="str">
        <f t="shared" si="2"/>
        <v/>
      </c>
      <c r="C17" t="s">
        <v>63</v>
      </c>
      <c r="D17">
        <v>2022</v>
      </c>
      <c r="E17" t="s">
        <v>12</v>
      </c>
      <c r="F17">
        <f>IF(MID($C17,4,3)&lt;&gt;"PAS",1,-SUMIF(FillTableGrassing!$F:$F,GrassingPastures!$C16,FillTableGrassing!G:G)/FillTableArea!G$28)</f>
        <v>-0.0039656311962987445</v>
      </c>
      <c r="G17" s="8" t="str">
        <f t="shared" si="3"/>
        <v/>
      </c>
      <c r="H17" s="8" t="str">
        <f t="shared" si="0"/>
        <v/>
      </c>
      <c r="I17" t="str">
        <f t="shared" si="1"/>
        <v/>
      </c>
    </row>
    <row r="18" spans="2:9" ht="15">
      <c r="B18" t="str">
        <f t="shared" si="2"/>
        <v>UC_HOR_Pasture</v>
      </c>
      <c r="C18" s="10" t="s">
        <v>51</v>
      </c>
      <c r="D18">
        <v>2022</v>
      </c>
      <c r="E18" t="s">
        <v>12</v>
      </c>
      <c r="F18">
        <f>IF(MID($C18,4,3)&lt;&gt;"PAS",1,-SUMIF(FillTableGrassing!$F:$F,GrassingPastures!$C17,FillTableGrassing!G:G)/FillTableArea!G$28)</f>
        <v>1</v>
      </c>
      <c r="G18" s="8">
        <f t="shared" si="3"/>
        <v>0</v>
      </c>
      <c r="H18" s="8">
        <f t="shared" si="0"/>
        <v>5</v>
      </c>
      <c r="I18" t="str">
        <f t="shared" si="1"/>
        <v>Restriction on the grassing HOR to fit with area use of pasture</v>
      </c>
    </row>
    <row r="19" spans="2:9" ht="15">
      <c r="B19" t="str">
        <f t="shared" si="2"/>
        <v/>
      </c>
      <c r="C19" t="s">
        <v>63</v>
      </c>
      <c r="D19">
        <v>2022</v>
      </c>
      <c r="E19" t="s">
        <v>12</v>
      </c>
      <c r="F19">
        <f>IF(MID($C19,4,3)&lt;&gt;"PAS",1,-SUMIF(FillTableGrassing!$F:$F,GrassingPastures!$C18,FillTableGrassing!G:G)/FillTableArea!G$28)</f>
        <v>-0.035246530072703237</v>
      </c>
      <c r="G19" s="8" t="str">
        <f t="shared" si="3"/>
        <v/>
      </c>
      <c r="H19" s="8" t="str">
        <f t="shared" si="0"/>
        <v/>
      </c>
      <c r="I19" t="str">
        <f t="shared" si="1"/>
        <v/>
      </c>
    </row>
    <row r="20" spans="2:9" ht="15">
      <c r="B20" t="str">
        <f t="shared" si="2"/>
        <v>\I:</v>
      </c>
      <c r="C20" s="10" t="s">
        <v>52</v>
      </c>
      <c r="D20">
        <v>2022</v>
      </c>
      <c r="E20" t="s">
        <v>12</v>
      </c>
      <c r="F20">
        <f>IF(MID($C20,4,3)&lt;&gt;"PAS",1,-SUMIF(FillTableGrassing!$F:$F,GrassingPastures!$C19,FillTableGrassing!G:G)/FillTableArea!G$28)</f>
        <v>1</v>
      </c>
      <c r="G20" s="8">
        <f t="shared" si="3"/>
        <v>0</v>
      </c>
      <c r="H20" s="8">
        <f t="shared" si="0"/>
        <v>5</v>
      </c>
      <c r="I20" t="str">
        <f t="shared" si="1"/>
        <v>Restriction on the grassing LLA to fit with area use of pasture</v>
      </c>
    </row>
    <row r="21" spans="2:9" ht="15">
      <c r="B21" t="str">
        <f t="shared" si="2"/>
        <v>\I:</v>
      </c>
      <c r="C21" t="s">
        <v>63</v>
      </c>
      <c r="D21">
        <v>2022</v>
      </c>
      <c r="E21" t="s">
        <v>12</v>
      </c>
      <c r="F21">
        <f>IF(MID($C21,4,3)&lt;&gt;"PAS",1,-SUMIF(FillTableGrassing!$F:$F,GrassingPastures!$C20,FillTableGrassing!G:G)/FillTableArea!G$28)</f>
        <v>0</v>
      </c>
      <c r="G21" s="8">
        <f t="shared" si="3"/>
        <v>0</v>
      </c>
      <c r="H21" s="8">
        <f t="shared" si="0"/>
        <v>5</v>
      </c>
      <c r="I21" t="str">
        <f t="shared" si="1"/>
        <v>Restriction on the grassing GEP to fit with area use of pasture</v>
      </c>
    </row>
    <row r="22" spans="2:9" ht="15">
      <c r="B22" t="str">
        <f t="shared" si="2"/>
        <v>\I:</v>
      </c>
      <c r="C22" s="10" t="s">
        <v>53</v>
      </c>
      <c r="D22">
        <v>2022</v>
      </c>
      <c r="E22" t="s">
        <v>12</v>
      </c>
      <c r="F22">
        <f>IF(MID($C22,4,3)&lt;&gt;"PAS",1,-SUMIF(FillTableGrassing!$F:$F,GrassingPastures!$C21,FillTableGrassing!G:G)/FillTableArea!G$28)</f>
        <v>1</v>
      </c>
      <c r="G22" s="8">
        <f t="shared" si="3"/>
        <v>0</v>
      </c>
      <c r="H22" s="8">
        <f t="shared" si="0"/>
        <v>5</v>
      </c>
      <c r="I22" t="str">
        <f t="shared" si="1"/>
        <v>Restriction on the grassing MUL to fit with area use of pasture</v>
      </c>
    </row>
    <row r="23" spans="2:9" ht="15">
      <c r="B23" t="str">
        <f t="shared" si="2"/>
        <v>\I:</v>
      </c>
      <c r="C23" t="s">
        <v>63</v>
      </c>
      <c r="D23">
        <v>2022</v>
      </c>
      <c r="E23" t="s">
        <v>12</v>
      </c>
      <c r="F23">
        <f>IF(MID($C23,4,3)&lt;&gt;"PAS",1,-SUMIF(FillTableGrassing!$F:$F,GrassingPastures!$C22,FillTableGrassing!G:G)/FillTableArea!G$28)</f>
        <v>0</v>
      </c>
      <c r="G23" s="8">
        <f t="shared" si="3"/>
        <v>0</v>
      </c>
      <c r="H23" s="8">
        <f t="shared" si="0"/>
        <v>5</v>
      </c>
      <c r="I23" t="str">
        <f t="shared" si="1"/>
        <v>Restriction on the grassing GEP to fit with area use of pasture</v>
      </c>
    </row>
    <row r="24" spans="2:9" ht="15">
      <c r="B24" t="str">
        <f t="shared" si="2"/>
        <v>UC_SHP_Pasture</v>
      </c>
      <c r="C24" s="10" t="s">
        <v>54</v>
      </c>
      <c r="D24">
        <v>2022</v>
      </c>
      <c r="E24" t="s">
        <v>12</v>
      </c>
      <c r="F24">
        <f>IF(MID($C24,4,3)&lt;&gt;"PAS",1,-SUMIF(FillTableGrassing!$F:$F,GrassingPastures!$C23,FillTableGrassing!G:G)/FillTableArea!G$28)</f>
        <v>1</v>
      </c>
      <c r="G24" s="8">
        <f t="shared" si="3"/>
        <v>0</v>
      </c>
      <c r="H24" s="8">
        <f t="shared" si="0"/>
        <v>5</v>
      </c>
      <c r="I24" t="str">
        <f t="shared" si="1"/>
        <v>Restriction on the grassing SHP to fit with area use of pasture</v>
      </c>
    </row>
    <row r="25" spans="2:9" ht="15">
      <c r="B25" t="str">
        <f t="shared" si="2"/>
        <v/>
      </c>
      <c r="C25" t="s">
        <v>63</v>
      </c>
      <c r="D25">
        <v>2022</v>
      </c>
      <c r="E25" t="s">
        <v>12</v>
      </c>
      <c r="F25">
        <f>IF(MID($C25,4,3)&lt;&gt;"PAS",1,-SUMIF(FillTableGrassing!$F:$F,GrassingPastures!$C24,FillTableGrassing!G:G)/FillTableArea!G$28)</f>
        <v>-0.11263714474553865</v>
      </c>
      <c r="G25" s="8" t="str">
        <f t="shared" si="3"/>
        <v/>
      </c>
      <c r="H25" s="8" t="str">
        <f t="shared" si="0"/>
        <v/>
      </c>
      <c r="I25" t="str">
        <f t="shared" si="1"/>
        <v/>
      </c>
    </row>
    <row r="26" spans="2:9" ht="15">
      <c r="B26" t="str">
        <f t="shared" si="2"/>
        <v>UC_SWB_Pasture</v>
      </c>
      <c r="C26" s="10" t="s">
        <v>55</v>
      </c>
      <c r="D26">
        <v>2022</v>
      </c>
      <c r="E26" t="s">
        <v>12</v>
      </c>
      <c r="F26">
        <f>IF(MID($C26,4,3)&lt;&gt;"PAS",1,-SUMIF(FillTableGrassing!$F:$F,GrassingPastures!$C25,FillTableGrassing!G:G)/FillTableArea!G$28)</f>
        <v>1</v>
      </c>
      <c r="G26" s="8">
        <f t="shared" si="3"/>
        <v>0</v>
      </c>
      <c r="H26" s="8">
        <f t="shared" si="0"/>
        <v>5</v>
      </c>
      <c r="I26" t="str">
        <f t="shared" si="1"/>
        <v>Restriction on the grassing SWB to fit with area use of pasture</v>
      </c>
    </row>
    <row r="27" spans="2:9" ht="15">
      <c r="B27" t="str">
        <f t="shared" si="2"/>
        <v/>
      </c>
      <c r="C27" t="s">
        <v>63</v>
      </c>
      <c r="D27">
        <v>2022</v>
      </c>
      <c r="E27" t="s">
        <v>12</v>
      </c>
      <c r="F27">
        <f>IF(MID($C27,4,3)&lt;&gt;"PAS",1,-SUMIF(FillTableGrassing!$F:$F,GrassingPastures!$C26,FillTableGrassing!G:G)/FillTableArea!G$28)</f>
        <v>-0.046803370786516856</v>
      </c>
      <c r="G27" s="8" t="str">
        <f t="shared" si="3"/>
        <v/>
      </c>
      <c r="H27" s="8" t="str">
        <f t="shared" si="0"/>
        <v/>
      </c>
      <c r="I27" t="str">
        <f t="shared" si="1"/>
        <v/>
      </c>
    </row>
    <row r="28" spans="2:9" ht="15">
      <c r="B28" t="str">
        <f t="shared" si="2"/>
        <v>UC_SWM_Pasture</v>
      </c>
      <c r="C28" s="10" t="s">
        <v>56</v>
      </c>
      <c r="D28">
        <v>2022</v>
      </c>
      <c r="E28" t="s">
        <v>12</v>
      </c>
      <c r="F28">
        <f>IF(MID($C28,4,3)&lt;&gt;"PAS",1,-SUMIF(FillTableGrassing!$F:$F,GrassingPastures!$C27,FillTableGrassing!G:G)/FillTableArea!G$28)</f>
        <v>1</v>
      </c>
      <c r="G28" s="8">
        <f t="shared" si="3"/>
        <v>0</v>
      </c>
      <c r="H28" s="8">
        <f t="shared" si="0"/>
        <v>5</v>
      </c>
      <c r="I28" t="str">
        <f t="shared" si="1"/>
        <v>Restriction on the grassing SWM to fit with area use of pasture</v>
      </c>
    </row>
    <row r="29" spans="2:9" ht="15">
      <c r="B29" t="str">
        <f t="shared" si="2"/>
        <v/>
      </c>
      <c r="C29" t="s">
        <v>63</v>
      </c>
      <c r="D29">
        <v>2022</v>
      </c>
      <c r="E29" t="s">
        <v>12</v>
      </c>
      <c r="F29">
        <f>IF(MID($C29,4,3)&lt;&gt;"PAS",1,-SUMIF(FillTableGrassing!$F:$F,GrassingPastures!$C28,FillTableGrassing!G:G)/FillTableArea!G$28)</f>
        <v>-0.42123033707865171</v>
      </c>
      <c r="G29" s="8" t="str">
        <f t="shared" si="3"/>
        <v/>
      </c>
      <c r="H29" s="8" t="str">
        <f t="shared" si="0"/>
        <v/>
      </c>
      <c r="I29" t="str">
        <f t="shared" si="1"/>
        <v/>
      </c>
    </row>
    <row r="30" spans="2:9" ht="15">
      <c r="B30" t="str">
        <f t="shared" si="2"/>
        <v>UC_POU_Pasture</v>
      </c>
      <c r="C30" s="10" t="s">
        <v>57</v>
      </c>
      <c r="D30">
        <v>2022</v>
      </c>
      <c r="E30" t="s">
        <v>12</v>
      </c>
      <c r="F30">
        <f>IF(MID($C30,4,3)&lt;&gt;"PAS",1,-SUMIF(FillTableGrassing!$F:$F,GrassingPastures!$C29,FillTableGrassing!G:G)/FillTableArea!G$28)</f>
        <v>1</v>
      </c>
      <c r="G30" s="8">
        <f t="shared" si="3"/>
        <v>0</v>
      </c>
      <c r="H30" s="8">
        <f t="shared" si="0"/>
        <v>5</v>
      </c>
      <c r="I30" t="str">
        <f t="shared" si="1"/>
        <v>Restriction on the grassing POU to fit with area use of pasture</v>
      </c>
    </row>
    <row r="31" spans="2:9" ht="15">
      <c r="B31" t="str">
        <f t="shared" si="2"/>
        <v/>
      </c>
      <c r="C31" t="s">
        <v>63</v>
      </c>
      <c r="D31">
        <v>2022</v>
      </c>
      <c r="E31" t="s">
        <v>12</v>
      </c>
      <c r="F31">
        <f>IF(MID($C31,4,3)&lt;&gt;"PAS",1,-SUMIF(FillTableGrassing!$F:$F,GrassingPastures!$C30,FillTableGrassing!G:G)/FillTableArea!G$28)</f>
        <v>-7.6554458030403172</v>
      </c>
      <c r="G31" s="8" t="str">
        <f t="shared" si="3"/>
        <v/>
      </c>
      <c r="H31" s="8" t="str">
        <f t="shared" si="0"/>
        <v/>
      </c>
      <c r="I31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FillTableArea</vt:lpstr>
      <vt:lpstr>FillTableGrassing</vt:lpstr>
      <vt:lpstr>AreaUse</vt:lpstr>
      <vt:lpstr>GrassingPastures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Ida Græsted Jensen</cp:lastModifiedBy>
  <dcterms:created xsi:type="dcterms:W3CDTF">2009-05-27T15:40:55Z</dcterms:created>
  <dcterms:modified xsi:type="dcterms:W3CDTF">2025-09-17T06:47:11Z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